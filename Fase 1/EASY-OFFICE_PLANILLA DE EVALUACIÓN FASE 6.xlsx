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166925"/>
  <mc:AlternateContent xmlns:mc="http://schemas.openxmlformats.org/markup-compatibility/2006">
    <mc:Choice Requires="x15">
      <x15ac:absPath xmlns:x15ac="http://schemas.microsoft.com/office/spreadsheetml/2010/11/ac" url="/Users/falcantara/Downloads/PRACTICAS/"/>
    </mc:Choice>
  </mc:AlternateContent>
  <xr:revisionPtr revIDLastSave="0" documentId="13_ncr:1_{0BC81152-078F-3A46-8ED5-971EC268D3A5}" xr6:coauthVersionLast="47" xr6:coauthVersionMax="47" xr10:uidLastSave="{00000000-0000-0000-0000-000000000000}"/>
  <bookViews>
    <workbookView xWindow="69980" yWindow="3740" windowWidth="29040" windowHeight="2238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<sst xmlns="http://schemas.openxmlformats.org/spreadsheetml/2006/main" count="157" uniqueCount="98">
  <si>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</si>
  <si>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</si>
  <si>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</si>
  <si>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</si>
  <si>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</si>
  <si>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</si>
  <si>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</si>
  <si>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</si>
  <si>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</si>
  <si>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</si>
  <si>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</si>
  <si>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</si>
  <si>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</si>
  <si>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</si>
  <si>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</si>
  <si>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</si>
  <si>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</si>
  <si>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</si>
  <si>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</si>
  <si>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</si>
  <si>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</si>
  <si>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</si>
  <si>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</si>
  <si>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</si>
  <si>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</si>
  <si>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</si>
  <si>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</si>
  <si>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</si>
  <si>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</si>
  <si>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</si>
  <si>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</si>
  <si>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</si>
  <si>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</si>
  <si>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</si>
  <si>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</si>
  <si>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</si>
  <si>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</si>
  <si>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</si>
  <si>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</si>
  <si>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</si>
  <si>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</si>
  <si>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</si>
  <si>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</si>
  <si>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</si>
  <si>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</si>
  <si>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</si>
  <si>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</si>
  <si>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</si>
  <si>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</si>
  <si>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</si>
  <si>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</si>
  <si>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</si>
  <si>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</si>
  <si>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</si>
  <si>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</si>
  <si>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</si>
  <si>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</si>
  <si>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</si>
  <si>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</si>
  <si>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</si>
  <si>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</si>
  <si>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</si>
  <si>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</si>
  <si>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</si>
  <si>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</si>
  <si>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</si>
  <si>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</si>
  <si>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</si>
  <si>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</si>
  <si>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</si>
  <si>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</si>
  <si>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</si>
  <si>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</si>
  <si>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</si>
  <si>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</si>
  <si>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</si>
  <si>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</si>
  <si>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</si>
  <si>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</si>
  <si>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</si>
  <si>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</si>
  <si>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</si>
  <si>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</si>
  <si>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</si>
  <si>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</si>
  <si>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</si>
  <si>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</si>
  <si>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</si>
  <si>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</si>
  <si>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</si>
  <si>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</si>
  <si>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</si>
  <si>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</si>
  <si>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</si>
  <si>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</si>
  <si>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HERNANDEZ REYES DUNKAN ANDRE</t>
  </si>
  <si>
    <t xml:space="preserve">FERNANDEZ GUERRERO ANDRES ALIRO OCTAVIO	</t>
  </si>
  <si>
    <t>NAVARRETE VALDERRAMA DIEGO EDUARDO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</si>
</sst>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27" sqref="C27:K28"/>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3">
        <v>1</v>
      </c>
    </row>
    <row r="3" spans="1:11" ht="16" x14ac:dyDescent="0.2">
      <c r="B3" s="3" t="s">
        <v>0</v>
      </c>
      <c r="C3" s="4" t="s">
        <v>1</v>
      </c>
      <c r="D3" s="2" t="s">
        <v>2</v>
      </c>
      <c r="E3" s="50"/>
    </row>
    <row r="4" spans="1:11" x14ac:dyDescent="0.2">
      <c r="A4" s="5">
        <v>1</v>
      </c>
      <c r="B4" s="32" t="s">
        <v>95</v>
      </c>
      <c r="C4" s="6">
        <f>EVALUACION1!$C$24</f>
        <v>4.2</v>
      </c>
      <c r="D4" s="6">
        <f>$C$35</f>
        <v>6</v>
      </c>
      <c r="E4" s="43">
        <f>C4*C$2+D4*D$2</f>
        <v>4.6500000000000004</v>
      </c>
      <c r="G4" s="1"/>
    </row>
    <row r="5" spans="1:11" x14ac:dyDescent="0.2">
      <c r="A5" s="5">
        <v>2</v>
      </c>
      <c r="B5" s="32" t="s">
        <v>96</v>
      </c>
      <c r="C5" s="6">
        <f>EVALUACION1!$C$24</f>
        <v>4.2</v>
      </c>
      <c r="D5" s="6">
        <f>C47</f>
        <v>6</v>
      </c>
      <c r="E5" s="43">
        <f t="shared" ref="E5:E6" si="0">C5*C$2+D5*D$2</f>
        <v>4.6500000000000004</v>
      </c>
      <c r="G5" s="1"/>
    </row>
    <row r="6" spans="1:11" x14ac:dyDescent="0.2">
      <c r="A6" s="5">
        <v>3</v>
      </c>
      <c r="B6" s="32" t="s">
        <v>97</v>
      </c>
      <c r="C6" s="6">
        <f>EVALUACION1!$C$24</f>
        <v>4.2</v>
      </c>
      <c r="D6" s="6">
        <f>C58</f>
        <v>6</v>
      </c>
      <c r="E6" s="43">
        <f t="shared" si="0"/>
        <v>4.6500000000000004</v>
      </c>
      <c r="G6" s="1"/>
    </row>
    <row r="11" spans="1:11" ht="19" outlineLevel="1" x14ac:dyDescent="0.2">
      <c r="A11" s="64" t="s">
        <v>3</v>
      </c>
      <c r="B11" s="14"/>
      <c r="C11" s="57" t="s">
        <v>4</v>
      </c>
      <c r="D11" s="58" t="s">
        <v>5</v>
      </c>
      <c r="E11" s="59"/>
      <c r="F11" s="59"/>
      <c r="G11" s="59"/>
      <c r="H11" s="59"/>
      <c r="I11" s="59"/>
      <c r="J11" s="59"/>
      <c r="K11" s="60"/>
    </row>
    <row r="12" spans="1:11" outlineLevel="1" x14ac:dyDescent="0.2">
      <c r="A12" s="62"/>
      <c r="B12" s="24" t="s">
        <v>6</v>
      </c>
      <c r="C12" s="50"/>
      <c r="D12" s="58" t="s">
        <v>7</v>
      </c>
      <c r="E12" s="60"/>
      <c r="F12" s="58" t="s">
        <v>8</v>
      </c>
      <c r="G12" s="60"/>
      <c r="H12" s="58" t="s">
        <v>9</v>
      </c>
      <c r="I12" s="60"/>
      <c r="J12" s="58" t="s">
        <v>10</v>
      </c>
      <c r="K12" s="60"/>
    </row>
    <row r="13" spans="1:11" ht="26" outlineLevel="1" x14ac:dyDescent="0.2">
      <c r="A13" s="65"/>
      <c r="B13" s="35" t="str">
        <f>RUBRICA!A5</f>
        <v>1. Describe brevemente en qué consiste el Proyecto APT, justificando su relevancia para el campo laboral de su carrera.</v>
      </c>
      <c r="C13" s="33" t="s">
        <v>8</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26.5" customHeight="1" outlineLevel="1" x14ac:dyDescent="0.2">
      <c r="A14" s="65"/>
      <c r="B14" s="35" t="str">
        <f>RUBRICA!A6</f>
        <v>2. Relaciona el Proyecto APT con las competencias del perfil de egreso de su Plan de Estudio.</v>
      </c>
      <c r="C14" s="33" t="s">
        <v>8</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outlineLevel="1" x14ac:dyDescent="0.2">
      <c r="A15" s="65"/>
      <c r="B15" s="35" t="str">
        <f>RUBRICA!A8</f>
        <v xml:space="preserve">4.  Argumenta por qué el proyecto es factible de realizarse en el marco de la asignatura. </v>
      </c>
      <c r="C15" s="33" t="s">
        <v>8</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outlineLevel="1" x14ac:dyDescent="0.2">
      <c r="A16" s="65"/>
      <c r="B16" s="35" t="str">
        <f>RUBRICA!A9</f>
        <v xml:space="preserve">5. Formula objetivos claros, concisos y coherentes con la disciplina y la situación a abordar. </v>
      </c>
      <c r="C16" s="33" t="s">
        <v>8</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6" outlineLevel="1" x14ac:dyDescent="0.2">
      <c r="A17" s="65"/>
      <c r="B17" s="35" t="str">
        <f>RUBRICA!A10</f>
        <v>6. Propone una metodología de trabajo que permite alcanzar los objetivos propuestos y es pertinente con los requerimientos disciplinares.</v>
      </c>
      <c r="C17" s="33"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6" outlineLevel="1" x14ac:dyDescent="0.2">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6" outlineLevel="1" x14ac:dyDescent="0.2">
      <c r="A19" s="65"/>
      <c r="B19" s="35" t="str">
        <f>RUBRICA!A12</f>
        <v>8. Determina evidencias, justificando cómo estas dan cuenta del logro de las actividades del Proyecto APT.</v>
      </c>
      <c r="C19" s="33" t="s">
        <v>8</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outlineLevel="1" x14ac:dyDescent="0.2">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 customHeight="1" outlineLevel="1" x14ac:dyDescent="0.2">
      <c r="A21" s="65"/>
      <c r="B21" s="35" t="str">
        <f>RUBRICA!A14</f>
        <v>10. Cumple completando el contenido del informe de presentación del proyecto de acuerdo con la plantilla entregada.</v>
      </c>
      <c r="C21" s="33" t="s">
        <v>8</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26" outlineLevel="1" x14ac:dyDescent="0.2">
      <c r="A22" s="65"/>
      <c r="B22" s="35" t="str">
        <f>RUBRICA!A16</f>
        <v>12. Desarrolla un plan de trabajo que permita del logro de los objetivos propuestos del proyecto de 
acuerdo a los tiempos para su desarrollo</v>
      </c>
      <c r="C22" s="33" t="s">
        <v>8</v>
      </c>
      <c r="D22" s="16" t="str">
        <f t="shared" si="12"/>
        <v/>
      </c>
      <c r="E22" s="16" t="str">
        <f>IF(D22="X",100*0.1,"")</f>
        <v/>
      </c>
      <c r="F22" s="16" t="str">
        <f t="shared" si="14"/>
        <v>X</v>
      </c>
      <c r="G22" s="16">
        <f>IF(F22="X",60*0.1,"")</f>
        <v>6</v>
      </c>
      <c r="H22" s="16" t="str">
        <f t="shared" si="16"/>
        <v/>
      </c>
      <c r="I22" s="16" t="str">
        <f>IF(H22="X",30*0.1,"")</f>
        <v/>
      </c>
      <c r="J22" s="16" t="str">
        <f t="shared" si="18"/>
        <v/>
      </c>
      <c r="K22" s="16" t="str">
        <f t="shared" si="19"/>
        <v/>
      </c>
    </row>
    <row r="23" spans="1:11" ht="15.75" customHeight="1" outlineLevel="1" x14ac:dyDescent="0.25">
      <c r="A23" s="62"/>
      <c r="B23" s="34" t="s">
        <v>11</v>
      </c>
      <c r="C23" s="37">
        <f>E23+G23+I23+K23</f>
        <v>44</v>
      </c>
      <c r="D23" s="19"/>
      <c r="E23" s="19">
        <f>SUM(E13:E22)</f>
        <v>5</v>
      </c>
      <c r="F23" s="19"/>
      <c r="G23" s="19">
        <f>SUM(G13:G22)</f>
        <v>39</v>
      </c>
      <c r="H23" s="19"/>
      <c r="I23" s="19">
        <f>SUM(I13:I22)</f>
        <v>0</v>
      </c>
      <c r="J23" s="19"/>
      <c r="K23" s="19">
        <f>SUM(K13:K22)</f>
        <v>0</v>
      </c>
    </row>
    <row r="24" spans="1:11" ht="15.75" customHeight="1" outlineLevel="1" x14ac:dyDescent="0.25">
      <c r="A24" s="50"/>
      <c r="B24" s="36" t="s">
        <v>12</v>
      </c>
      <c r="C24" s="20">
        <f>VLOOKUP(C23,ESCALA_IEP!A2:B142,2,FALSE)</f>
        <v>4.2</v>
      </c>
    </row>
    <row r="25" spans="1:11" ht="15.75" customHeight="1" x14ac:dyDescent="0.2"/>
    <row r="26" spans="1:11" ht="15.75" customHeight="1" x14ac:dyDescent="0.2"/>
    <row r="27" spans="1:11" ht="15.75" customHeight="1" x14ac:dyDescent="0.2">
      <c r="A27" s="61" t="s">
        <v>13</v>
      </c>
      <c r="B27" s="49" t="s">
        <v>14</v>
      </c>
      <c r="C27" s="51" t="str">
        <f>$B$4</f>
        <v>HERNANDEZ REYES DUNKAN ANDRE</v>
      </c>
      <c r="D27" s="52"/>
      <c r="E27" s="52"/>
      <c r="F27" s="52"/>
      <c r="G27" s="52"/>
      <c r="H27" s="52"/>
      <c r="I27" s="52"/>
      <c r="J27" s="52"/>
      <c r="K27" s="53"/>
    </row>
    <row r="28" spans="1:11" ht="15.75" customHeight="1" x14ac:dyDescent="0.2">
      <c r="A28" s="62"/>
      <c r="B28" s="50"/>
      <c r="C28" s="54"/>
      <c r="D28" s="55"/>
      <c r="E28" s="55"/>
      <c r="F28" s="55"/>
      <c r="G28" s="55"/>
      <c r="H28" s="55"/>
      <c r="I28" s="55"/>
      <c r="J28" s="55"/>
      <c r="K28" s="56"/>
    </row>
    <row r="29" spans="1:11" ht="15.75" customHeight="1" x14ac:dyDescent="0.2">
      <c r="A29" s="62"/>
      <c r="B29" s="14" t="s">
        <v>15</v>
      </c>
      <c r="C29" s="57" t="s">
        <v>4</v>
      </c>
      <c r="D29" s="58" t="s">
        <v>5</v>
      </c>
      <c r="E29" s="59"/>
      <c r="F29" s="59"/>
      <c r="G29" s="59"/>
      <c r="H29" s="59"/>
      <c r="I29" s="59"/>
      <c r="J29" s="59"/>
      <c r="K29" s="60"/>
    </row>
    <row r="30" spans="1:11" ht="15.75" customHeight="1" x14ac:dyDescent="0.2">
      <c r="A30" s="62"/>
      <c r="B30" s="15" t="s">
        <v>6</v>
      </c>
      <c r="C30" s="50"/>
      <c r="D30" s="58" t="s">
        <v>7</v>
      </c>
      <c r="E30" s="60"/>
      <c r="F30" s="58" t="s">
        <v>8</v>
      </c>
      <c r="G30" s="60"/>
      <c r="H30" s="58" t="s">
        <v>16</v>
      </c>
      <c r="I30" s="60"/>
      <c r="J30" s="58" t="s">
        <v>10</v>
      </c>
      <c r="K30" s="60"/>
    </row>
    <row r="31" spans="1:11" ht="24.5" customHeight="1" x14ac:dyDescent="0.2">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 customHeight="1" x14ac:dyDescent="0.2">
      <c r="A32" s="62"/>
      <c r="B32" s="35" t="str">
        <f>RUBRICA!A15</f>
        <v>11. Expone el tema utilizando un lenguaje técnico disciplinar al presentar la propuesta y responde evidenciando un manejo de la información. *</v>
      </c>
      <c r="C32" s="33" t="s">
        <v>8</v>
      </c>
      <c r="D32" s="16" t="str">
        <f t="shared" si="25"/>
        <v/>
      </c>
      <c r="E32" s="16" t="str">
        <f>IF(D32="X",100*0.1,"")</f>
        <v/>
      </c>
      <c r="F32" s="16" t="str">
        <f t="shared" si="26"/>
        <v>X</v>
      </c>
      <c r="G32" s="16">
        <f>IF(F32="X",60*0.1,"")</f>
        <v>6</v>
      </c>
      <c r="H32" s="16" t="str">
        <f t="shared" si="27"/>
        <v/>
      </c>
      <c r="I32" s="16" t="str">
        <f>IF(H32="X",30*0.1,"")</f>
        <v/>
      </c>
      <c r="J32" s="16" t="str">
        <f t="shared" si="28"/>
        <v/>
      </c>
      <c r="K32" s="16" t="str">
        <f t="shared" si="29"/>
        <v/>
      </c>
    </row>
    <row r="33" spans="1:11" x14ac:dyDescent="0.2">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25">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25">
      <c r="A35" s="50"/>
      <c r="B35" s="17" t="s">
        <v>12</v>
      </c>
      <c r="C35" s="20">
        <f>VLOOKUP(C34,ESCALA_TRAB_EQUIP!A2:B62,2,FALSE)</f>
        <v>6</v>
      </c>
    </row>
    <row r="36" spans="1:11" ht="15.75" customHeight="1" x14ac:dyDescent="0.25">
      <c r="B36" s="22"/>
      <c r="C36" s="23"/>
    </row>
    <row r="37" spans="1:11" ht="15.75" customHeight="1" x14ac:dyDescent="0.25">
      <c r="B37" s="22"/>
      <c r="C37" s="23"/>
    </row>
    <row r="38" spans="1:11" ht="15.75" customHeight="1" x14ac:dyDescent="0.2"/>
    <row r="39" spans="1:11" ht="15.75" customHeight="1" x14ac:dyDescent="0.2">
      <c r="A39" s="61" t="s">
        <v>13</v>
      </c>
      <c r="B39" s="49" t="s">
        <v>14</v>
      </c>
      <c r="C39" s="51" t="str">
        <f>B5</f>
        <v xml:space="preserve">FERNANDEZ GUERRERO ANDRES ALIRO OCTAVIO	</v>
      </c>
      <c r="D39" s="52"/>
      <c r="E39" s="52"/>
      <c r="F39" s="52"/>
      <c r="G39" s="52"/>
      <c r="H39" s="52"/>
      <c r="I39" s="52"/>
      <c r="J39" s="52"/>
      <c r="K39" s="53"/>
    </row>
    <row r="40" spans="1:11" ht="15.75" customHeight="1" x14ac:dyDescent="0.2">
      <c r="A40" s="62"/>
      <c r="B40" s="50"/>
      <c r="C40" s="54"/>
      <c r="D40" s="55"/>
      <c r="E40" s="55"/>
      <c r="F40" s="55"/>
      <c r="G40" s="55"/>
      <c r="H40" s="55"/>
      <c r="I40" s="55"/>
      <c r="J40" s="55"/>
      <c r="K40" s="56"/>
    </row>
    <row r="41" spans="1:11" ht="15.75" customHeight="1" x14ac:dyDescent="0.2">
      <c r="A41" s="62"/>
      <c r="B41" s="14" t="s">
        <v>15</v>
      </c>
      <c r="C41" s="57" t="s">
        <v>4</v>
      </c>
      <c r="D41" s="58" t="s">
        <v>5</v>
      </c>
      <c r="E41" s="59"/>
      <c r="F41" s="59"/>
      <c r="G41" s="59"/>
      <c r="H41" s="59"/>
      <c r="I41" s="59"/>
      <c r="J41" s="59"/>
      <c r="K41" s="60"/>
    </row>
    <row r="42" spans="1:11" ht="15.75" customHeight="1" x14ac:dyDescent="0.2">
      <c r="A42" s="62"/>
      <c r="B42" s="15" t="s">
        <v>6</v>
      </c>
      <c r="C42" s="50"/>
      <c r="D42" s="58" t="s">
        <v>7</v>
      </c>
      <c r="E42" s="60"/>
      <c r="F42" s="58" t="s">
        <v>8</v>
      </c>
      <c r="G42" s="60"/>
      <c r="H42" s="58" t="s">
        <v>16</v>
      </c>
      <c r="I42" s="60"/>
      <c r="J42" s="58" t="s">
        <v>10</v>
      </c>
      <c r="K42" s="60"/>
    </row>
    <row r="43" spans="1:11" ht="26" customHeight="1" x14ac:dyDescent="0.2">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6" x14ac:dyDescent="0.2">
      <c r="A44" s="62"/>
      <c r="B44" s="35" t="str">
        <f>RUBRICA!A15</f>
        <v>11. Expone el tema utilizando un lenguaje técnico disciplinar al presentar la propuesta y responde evidenciando un manejo de la información. *</v>
      </c>
      <c r="C44" s="33" t="s">
        <v>8</v>
      </c>
      <c r="D44" s="16" t="str">
        <f t="shared" si="31"/>
        <v/>
      </c>
      <c r="E44" s="16" t="str">
        <f>IF(D44="X",100*0.1,"")</f>
        <v/>
      </c>
      <c r="F44" s="16" t="str">
        <f t="shared" si="32"/>
        <v>X</v>
      </c>
      <c r="G44" s="16">
        <f>IF(F44="X",60*0.1,"")</f>
        <v>6</v>
      </c>
      <c r="H44" s="16" t="str">
        <f t="shared" si="33"/>
        <v/>
      </c>
      <c r="I44" s="16" t="str">
        <f>IF(H44="X",30*0.1,"")</f>
        <v/>
      </c>
      <c r="J44" s="16" t="str">
        <f t="shared" si="34"/>
        <v/>
      </c>
      <c r="K44" s="16" t="str">
        <f t="shared" si="35"/>
        <v/>
      </c>
    </row>
    <row r="45" spans="1:11" ht="15.75" customHeight="1" x14ac:dyDescent="0.2">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25">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25">
      <c r="A47" s="50"/>
      <c r="B47" s="17" t="s">
        <v>12</v>
      </c>
      <c r="C47" s="20">
        <f>VLOOKUP(C46,ESCALA_TRAB_EQUIP!A2:B62,2,FALSE)</f>
        <v>6</v>
      </c>
    </row>
    <row r="48" spans="1:11" ht="15.75" customHeight="1" x14ac:dyDescent="0.25">
      <c r="B48" s="22"/>
      <c r="C48" s="23"/>
    </row>
    <row r="49" spans="1:11" ht="15.75" customHeight="1" x14ac:dyDescent="0.25">
      <c r="B49" s="22"/>
      <c r="C49" s="23"/>
    </row>
    <row r="50" spans="1:11" ht="15.75" customHeight="1" x14ac:dyDescent="0.2">
      <c r="A50" s="61" t="s">
        <v>13</v>
      </c>
      <c r="B50" s="49" t="s">
        <v>14</v>
      </c>
      <c r="C50" s="51" t="str">
        <f>B6</f>
        <v>NAVARRETE VALDERRAMA DIEGO EDUARDO</v>
      </c>
      <c r="D50" s="52"/>
      <c r="E50" s="52"/>
      <c r="F50" s="52"/>
      <c r="G50" s="52"/>
      <c r="H50" s="52"/>
      <c r="I50" s="52"/>
      <c r="J50" s="52"/>
      <c r="K50" s="53"/>
    </row>
    <row r="51" spans="1:11" ht="15.75" customHeight="1" x14ac:dyDescent="0.2">
      <c r="A51" s="62"/>
      <c r="B51" s="50"/>
      <c r="C51" s="54"/>
      <c r="D51" s="55"/>
      <c r="E51" s="55"/>
      <c r="F51" s="55"/>
      <c r="G51" s="55"/>
      <c r="H51" s="55"/>
      <c r="I51" s="55"/>
      <c r="J51" s="55"/>
      <c r="K51" s="56"/>
    </row>
    <row r="52" spans="1:11" ht="15.75" customHeight="1" x14ac:dyDescent="0.2">
      <c r="A52" s="62"/>
      <c r="B52" s="14" t="s">
        <v>15</v>
      </c>
      <c r="C52" s="57" t="s">
        <v>4</v>
      </c>
      <c r="D52" s="58" t="s">
        <v>5</v>
      </c>
      <c r="E52" s="59"/>
      <c r="F52" s="59"/>
      <c r="G52" s="59"/>
      <c r="H52" s="59"/>
      <c r="I52" s="59"/>
      <c r="J52" s="59"/>
      <c r="K52" s="60"/>
    </row>
    <row r="53" spans="1:11" ht="15.75" customHeight="1" x14ac:dyDescent="0.2">
      <c r="A53" s="62"/>
      <c r="B53" s="15" t="s">
        <v>6</v>
      </c>
      <c r="C53" s="50"/>
      <c r="D53" s="58" t="s">
        <v>7</v>
      </c>
      <c r="E53" s="60"/>
      <c r="F53" s="58" t="s">
        <v>8</v>
      </c>
      <c r="G53" s="60"/>
      <c r="H53" s="58" t="s">
        <v>16</v>
      </c>
      <c r="I53" s="60"/>
      <c r="J53" s="58" t="s">
        <v>10</v>
      </c>
      <c r="K53" s="60"/>
    </row>
    <row r="54" spans="1:11" ht="26" customHeight="1" x14ac:dyDescent="0.2">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6" x14ac:dyDescent="0.2">
      <c r="A55" s="62"/>
      <c r="B55" s="35" t="str">
        <f>RUBRICA!A15</f>
        <v>11. Expone el tema utilizando un lenguaje técnico disciplinar al presentar la propuesta y responde evidenciando un manejo de la información. *</v>
      </c>
      <c r="C55" s="33" t="s">
        <v>8</v>
      </c>
      <c r="D55" s="16" t="str">
        <f t="shared" si="39"/>
        <v/>
      </c>
      <c r="E55" s="16" t="str">
        <f>IF(D55="X",100*0.1,"")</f>
        <v/>
      </c>
      <c r="F55" s="16" t="str">
        <f t="shared" si="40"/>
        <v>X</v>
      </c>
      <c r="G55" s="16">
        <f>IF(F55="X",60*0.1,"")</f>
        <v>6</v>
      </c>
      <c r="H55" s="16" t="str">
        <f t="shared" si="41"/>
        <v/>
      </c>
      <c r="I55" s="16" t="str">
        <f>IF(H55="X",30*0.1,"")</f>
        <v/>
      </c>
      <c r="J55" s="16" t="str">
        <f t="shared" si="42"/>
        <v/>
      </c>
      <c r="K55" s="16" t="str">
        <f t="shared" si="43"/>
        <v/>
      </c>
    </row>
    <row r="56" spans="1:11" ht="15.75" customHeight="1" x14ac:dyDescent="0.2">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25">
      <c r="A57" s="62"/>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25">
      <c r="A58" s="50"/>
      <c r="B58" s="17" t="s">
        <v>12</v>
      </c>
      <c r="C58" s="20">
        <f>VLOOKUP(C57,ESCALA_TRAB_EQUIP!A2:B62,2,FALSE)</f>
        <v>6</v>
      </c>
    </row>
    <row r="59" spans="1:11" ht="15.75" customHeight="1" x14ac:dyDescent="0.25">
      <c r="B59" s="22"/>
      <c r="C59" s="23"/>
    </row>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69" t="s">
        <v>18</v>
      </c>
      <c r="B2" s="72" t="s">
        <v>19</v>
      </c>
      <c r="C2" s="73"/>
      <c r="D2" s="73"/>
      <c r="E2" s="74"/>
      <c r="F2" s="69" t="s">
        <v>20</v>
      </c>
    </row>
    <row r="3" spans="1:6" ht="16" x14ac:dyDescent="0.2">
      <c r="A3" s="70"/>
      <c r="B3" s="75" t="s">
        <v>21</v>
      </c>
      <c r="C3" s="75" t="s">
        <v>22</v>
      </c>
      <c r="D3" s="25" t="s">
        <v>23</v>
      </c>
      <c r="E3" s="27" t="s">
        <v>10</v>
      </c>
      <c r="F3" s="70"/>
    </row>
    <row r="4" spans="1:6" ht="57.5" customHeight="1" thickBot="1" x14ac:dyDescent="0.25">
      <c r="A4" s="71"/>
      <c r="B4" s="76"/>
      <c r="C4" s="76"/>
      <c r="D4" s="26">
        <v>-0.3</v>
      </c>
      <c r="E4" s="26">
        <v>0</v>
      </c>
      <c r="F4" s="71"/>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Alcántara Guajardo</cp:lastModifiedBy>
  <cp:revision/>
  <dcterms:created xsi:type="dcterms:W3CDTF">2023-08-07T04:08:01Z</dcterms:created>
  <dcterms:modified xsi:type="dcterms:W3CDTF">2026-09-12T19:52:01Z</dcterms:modified>
  <cp:category/>
  <cp:contentStatus/>
</cp:coreProperties>
</file>